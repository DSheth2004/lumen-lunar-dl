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UMEN vs 3 pap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<sst xmlns="http://schemas.openxmlformats.org/spreadsheetml/2006/main" count="81" uniqueCount="43">
  <si>
    <t xml:space="preserve">LUMEN vs the three reference papers (identical data; each soil / landing site held out in turn)</t>
  </si>
  <si>
    <t xml:space="preserve">Paper</t>
  </si>
  <si>
    <t xml:space="preserve">Quantity compared</t>
  </si>
  <si>
    <t xml:space="preserve">Unit</t>
  </si>
  <si>
    <t xml:space="preserve">Better is</t>
  </si>
  <si>
    <t xml:space="preserve">Paper's method</t>
  </si>
  <si>
    <t xml:space="preserve">LUMEN</t>
  </si>
  <si>
    <t xml:space="preserve">LUMEN improvement</t>
  </si>
  <si>
    <t xml:space="preserve">Significant?</t>
  </si>
  <si>
    <t xml:space="preserve">Korokhin et al. 2024</t>
  </si>
  <si>
    <t xml:space="preserve">Clinopyroxene proportion error</t>
  </si>
  <si>
    <t xml:space="preserve">pp</t>
  </si>
  <si>
    <t xml:space="preserve">lower</t>
  </si>
  <si>
    <t xml:space="preserve">Yes (Holm p ≤ 0.007)</t>
  </si>
  <si>
    <t xml:space="preserve">Orthopyroxene proportion error</t>
  </si>
  <si>
    <t xml:space="preserve">Olivine proportion error</t>
  </si>
  <si>
    <t xml:space="preserve">Plagioclase proportion error</t>
  </si>
  <si>
    <t xml:space="preserve">Ilmenite proportion error</t>
  </si>
  <si>
    <t xml:space="preserve">Maturity: rank correlation with measured Is/FeO (20–45 µm)</t>
  </si>
  <si>
    <t xml:space="preserve">Spearman ρ</t>
  </si>
  <si>
    <t xml:space="preserve">higher</t>
  </si>
  <si>
    <t xml:space="preserve">–</t>
  </si>
  <si>
    <t xml:space="preserve">Jung et al. 2026</t>
  </si>
  <si>
    <t xml:space="preserve">Worst olivine error, 4 test soils (claimed &lt; 7)</t>
  </si>
  <si>
    <t xml:space="preserve">– (n = 4)</t>
  </si>
  <si>
    <t xml:space="preserve">Worst ilmenite error, 4 test soils (claimed &lt; 10)</t>
  </si>
  <si>
    <t xml:space="preserve">Worst plagioclase error, 4 test soils (claimed &lt; 30)</t>
  </si>
  <si>
    <t xml:space="preserve">Maturity: correlation with measured Is/FeO</t>
  </si>
  <si>
    <t xml:space="preserve">Pearson r</t>
  </si>
  <si>
    <t xml:space="preserve">Fernández-Díaz et al. 2026</t>
  </si>
  <si>
    <t xml:space="preserve">FeO error, lab spectra</t>
  </si>
  <si>
    <t xml:space="preserve">wt %</t>
  </si>
  <si>
    <t xml:space="preserve">Borderline (p = 0.023; Holm 0.069)</t>
  </si>
  <si>
    <t xml:space="preserve">FeO error, real M³ data, 18 landing sites (published configuration)</t>
  </si>
  <si>
    <t xml:space="preserve">No (18 sites)</t>
  </si>
  <si>
    <t xml:space="preserve">FeO error, real M³ data, 18 landing sites (their best variant)</t>
  </si>
  <si>
    <t xml:space="preserve">Notes</t>
  </si>
  <si>
    <t xml:space="preserve">LUMEN improvement: for errors, % reduction = (paper − LUMEN) / paper; for correlations, absolute gain (LUMEN − paper).</t>
  </si>
  <si>
    <t xml:space="preserve">pp = percentage points of mineral proportion. Blue values are taken from LUMEN_HybridDL/RESULTS.md (generated from the result tables).</t>
  </si>
  <si>
    <t xml:space="preserve">Korokhin and Jung are physics-only inversions that never train on real soils; LUMEN is trained on the other soils, never on the test soil.</t>
  </si>
  <si>
    <t xml:space="preserve">Fernández-Díaz: their full pipeline was re-run on exactly the same data and splits (fairest comparison).</t>
  </si>
  <si>
    <t xml:space="preserve">Not shown: the one loss — plagioclase when a whole Apollo mission is held out (LUMEN 12.64 vs Korokhin 12.08, not significant).</t>
  </si>
  <si>
    <t xml:space="preserve">M³ rows: LUMEN fine-tuned on the M³ spectra of the other 17 landing sites; FeO ground truth from Fernández-Díaz et al.'s 50 returned samples.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</si>
</sst>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\+0.00;\-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1" t="s">
        <v>0</v>
      </c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4" t="n">
        <v>5.3</v>
      </c>
      <c r="F4" s="5" t="n">
        <v>2.24</v>
      </c>
      <c r="G4" s="6" t="n">
        <f aca="false">IF(E4=0,"",(E4-F4)/E4)</f>
        <v>0.577358490566038</v>
      </c>
      <c r="H4" s="3" t="s">
        <v>13</v>
      </c>
    </row>
    <row r="5" customFormat="false" ht="15" hidden="false" customHeight="false" outlineLevel="0" collapsed="false">
      <c r="A5" s="3" t="s">
        <v>9</v>
      </c>
      <c r="B5" s="3" t="s">
        <v>14</v>
      </c>
      <c r="C5" s="3" t="s">
        <v>11</v>
      </c>
      <c r="D5" s="3" t="s">
        <v>12</v>
      </c>
      <c r="E5" s="4" t="n">
        <v>8.37</v>
      </c>
      <c r="F5" s="5" t="n">
        <v>3.25</v>
      </c>
      <c r="G5" s="6" t="n">
        <f aca="false">IF(E5=0,"",(E5-F5)/E5)</f>
        <v>0.611708482676225</v>
      </c>
      <c r="H5" s="3" t="s">
        <v>13</v>
      </c>
    </row>
    <row r="6" customFormat="false" ht="15" hidden="false" customHeight="false" outlineLevel="0" collapsed="false">
      <c r="A6" s="3" t="s">
        <v>9</v>
      </c>
      <c r="B6" s="3" t="s">
        <v>15</v>
      </c>
      <c r="C6" s="3" t="s">
        <v>11</v>
      </c>
      <c r="D6" s="3" t="s">
        <v>12</v>
      </c>
      <c r="E6" s="4" t="n">
        <v>7.44</v>
      </c>
      <c r="F6" s="5" t="n">
        <v>1.91</v>
      </c>
      <c r="G6" s="6" t="n">
        <f aca="false">IF(E6=0,"",(E6-F6)/E6)</f>
        <v>0.743279569892473</v>
      </c>
      <c r="H6" s="3" t="s">
        <v>13</v>
      </c>
    </row>
    <row r="7" customFormat="false" ht="15" hidden="false" customHeight="false" outlineLevel="0" collapsed="false">
      <c r="A7" s="3" t="s">
        <v>9</v>
      </c>
      <c r="B7" s="3" t="s">
        <v>16</v>
      </c>
      <c r="C7" s="3" t="s">
        <v>11</v>
      </c>
      <c r="D7" s="3" t="s">
        <v>12</v>
      </c>
      <c r="E7" s="4" t="n">
        <v>12.08</v>
      </c>
      <c r="F7" s="5" t="n">
        <v>5.55</v>
      </c>
      <c r="G7" s="6" t="n">
        <f aca="false">IF(E7=0,"",(E7-F7)/E7)</f>
        <v>0.540562913907285</v>
      </c>
      <c r="H7" s="3" t="s">
        <v>13</v>
      </c>
    </row>
    <row r="8" customFormat="false" ht="15" hidden="false" customHeight="false" outlineLevel="0" collapsed="false">
      <c r="A8" s="3" t="s">
        <v>9</v>
      </c>
      <c r="B8" s="3" t="s">
        <v>17</v>
      </c>
      <c r="C8" s="3" t="s">
        <v>11</v>
      </c>
      <c r="D8" s="3" t="s">
        <v>12</v>
      </c>
      <c r="E8" s="4" t="n">
        <v>5.24</v>
      </c>
      <c r="F8" s="5" t="n">
        <v>2.39</v>
      </c>
      <c r="G8" s="6" t="n">
        <f aca="false">IF(E8=0,"",(E8-F8)/E8)</f>
        <v>0.543893129770992</v>
      </c>
      <c r="H8" s="3" t="s">
        <v>13</v>
      </c>
    </row>
    <row r="9" customFormat="false" ht="15" hidden="false" customHeight="false" outlineLevel="0" collapsed="false">
      <c r="A9" s="3" t="s">
        <v>9</v>
      </c>
      <c r="B9" s="3" t="s">
        <v>18</v>
      </c>
      <c r="C9" s="3" t="s">
        <v>19</v>
      </c>
      <c r="D9" s="3" t="s">
        <v>20</v>
      </c>
      <c r="E9" s="4" t="n">
        <v>0.44</v>
      </c>
      <c r="F9" s="5" t="n">
        <v>0.96</v>
      </c>
      <c r="G9" s="7" t="n">
        <f aca="false">F9-E9</f>
        <v>0.52</v>
      </c>
      <c r="H9" s="3" t="s">
        <v>21</v>
      </c>
    </row>
    <row r="10" customFormat="false" ht="15" hidden="false" customHeight="false" outlineLevel="0" collapsed="false">
      <c r="A10" s="3" t="s">
        <v>22</v>
      </c>
      <c r="B10" s="3" t="s">
        <v>23</v>
      </c>
      <c r="C10" s="3" t="s">
        <v>11</v>
      </c>
      <c r="D10" s="3" t="s">
        <v>12</v>
      </c>
      <c r="E10" s="4" t="n">
        <v>5.78</v>
      </c>
      <c r="F10" s="5" t="n">
        <v>1</v>
      </c>
      <c r="G10" s="6" t="n">
        <f aca="false">IF(E10=0,"",(E10-F10)/E10)</f>
        <v>0.826989619377163</v>
      </c>
      <c r="H10" s="3" t="s">
        <v>24</v>
      </c>
    </row>
    <row r="11" customFormat="false" ht="15" hidden="false" customHeight="false" outlineLevel="0" collapsed="false">
      <c r="A11" s="3" t="s">
        <v>22</v>
      </c>
      <c r="B11" s="3" t="s">
        <v>25</v>
      </c>
      <c r="C11" s="3" t="s">
        <v>11</v>
      </c>
      <c r="D11" s="3" t="s">
        <v>12</v>
      </c>
      <c r="E11" s="4" t="n">
        <v>17.56</v>
      </c>
      <c r="F11" s="5" t="n">
        <v>1.24</v>
      </c>
      <c r="G11" s="6" t="n">
        <f aca="false">IF(E11=0,"",(E11-F11)/E11)</f>
        <v>0.929384965831435</v>
      </c>
      <c r="H11" s="3" t="s">
        <v>24</v>
      </c>
    </row>
    <row r="12" customFormat="false" ht="15" hidden="false" customHeight="false" outlineLevel="0" collapsed="false">
      <c r="A12" s="3" t="s">
        <v>22</v>
      </c>
      <c r="B12" s="3" t="s">
        <v>26</v>
      </c>
      <c r="C12" s="3" t="s">
        <v>11</v>
      </c>
      <c r="D12" s="3" t="s">
        <v>12</v>
      </c>
      <c r="E12" s="4" t="n">
        <v>16.83</v>
      </c>
      <c r="F12" s="5" t="n">
        <v>7.95</v>
      </c>
      <c r="G12" s="6" t="n">
        <f aca="false">IF(E12=0,"",(E12-F12)/E12)</f>
        <v>0.527629233511586</v>
      </c>
      <c r="H12" s="3" t="s">
        <v>24</v>
      </c>
    </row>
    <row r="13" customFormat="false" ht="15" hidden="false" customHeight="false" outlineLevel="0" collapsed="false">
      <c r="A13" s="3" t="s">
        <v>22</v>
      </c>
      <c r="B13" s="3" t="s">
        <v>27</v>
      </c>
      <c r="C13" s="3" t="s">
        <v>28</v>
      </c>
      <c r="D13" s="3" t="s">
        <v>20</v>
      </c>
      <c r="E13" s="4" t="n">
        <v>0</v>
      </c>
      <c r="F13" s="5" t="n">
        <v>0.99</v>
      </c>
      <c r="G13" s="7" t="n">
        <f aca="false">F13-E13</f>
        <v>0.99</v>
      </c>
      <c r="H13" s="3" t="s">
        <v>24</v>
      </c>
    </row>
    <row r="14" customFormat="false" ht="26.85" hidden="false" customHeight="false" outlineLevel="0" collapsed="false">
      <c r="A14" s="3" t="s">
        <v>29</v>
      </c>
      <c r="B14" s="3" t="s">
        <v>30</v>
      </c>
      <c r="C14" s="3" t="s">
        <v>31</v>
      </c>
      <c r="D14" s="3" t="s">
        <v>12</v>
      </c>
      <c r="E14" s="4" t="n">
        <v>2.17</v>
      </c>
      <c r="F14" s="5" t="n">
        <v>1.26</v>
      </c>
      <c r="G14" s="6" t="n">
        <f aca="false">IF(E14=0,"",(E14-F14)/E14)</f>
        <v>0.419354838709677</v>
      </c>
      <c r="H14" s="3" t="s">
        <v>32</v>
      </c>
    </row>
    <row r="15" customFormat="false" ht="26.85" hidden="false" customHeight="false" outlineLevel="0" collapsed="false">
      <c r="A15" s="3" t="s">
        <v>29</v>
      </c>
      <c r="B15" s="3" t="s">
        <v>33</v>
      </c>
      <c r="C15" s="3" t="s">
        <v>31</v>
      </c>
      <c r="D15" s="3" t="s">
        <v>12</v>
      </c>
      <c r="E15" s="4" t="n">
        <v>3.48</v>
      </c>
      <c r="F15" s="5" t="n">
        <v>2.64</v>
      </c>
      <c r="G15" s="6" t="n">
        <f aca="false">IF(E15=0,"",(E15-F15)/E15)</f>
        <v>0.241379310344828</v>
      </c>
      <c r="H15" s="3" t="s">
        <v>34</v>
      </c>
    </row>
    <row r="16" customFormat="false" ht="15" hidden="false" customHeight="false" outlineLevel="0" collapsed="false">
      <c r="A16" s="3" t="s">
        <v>29</v>
      </c>
      <c r="B16" s="3" t="s">
        <v>35</v>
      </c>
      <c r="C16" s="3" t="s">
        <v>31</v>
      </c>
      <c r="D16" s="3" t="s">
        <v>12</v>
      </c>
      <c r="E16" s="4" t="n">
        <v>3.07</v>
      </c>
      <c r="F16" s="5" t="n">
        <v>2.64</v>
      </c>
      <c r="G16" s="6" t="n">
        <f aca="false">IF(E16=0,"",(E16-F16)/E16)</f>
        <v>0.140065146579804</v>
      </c>
      <c r="H16" s="3" t="s">
        <v>34</v>
      </c>
    </row>
    <row r="18" customFormat="false" ht="15" hidden="false" customHeight="false" outlineLevel="0" collapsed="false">
      <c r="A18" s="8" t="s">
        <v>36</v>
      </c>
    </row>
    <row r="19" customFormat="false" ht="15" hidden="false" customHeight="false" outlineLevel="0" collapsed="false">
      <c r="A19" s="9" t="s">
        <v>37</v>
      </c>
    </row>
    <row r="20" customFormat="false" ht="15" hidden="false" customHeight="false" outlineLevel="0" collapsed="false">
      <c r="A20" s="9" t="s">
        <v>38</v>
      </c>
    </row>
    <row r="21" customFormat="false" ht="15" hidden="false" customHeight="false" outlineLevel="0" collapsed="false">
      <c r="A21" s="9" t="s">
        <v>39</v>
      </c>
    </row>
    <row r="22" customFormat="false" ht="15" hidden="false" customHeight="false" outlineLevel="0" collapsed="false">
      <c r="A22" s="9" t="s">
        <v>40</v>
      </c>
    </row>
    <row r="23" customFormat="false" ht="15" hidden="false" customHeight="false" outlineLevel="0" collapsed="false">
      <c r="A23" s="9" t="s">
        <v>41</v>
      </c>
    </row>
    <row r="24" customFormat="false" ht="15" hidden="false" customHeight="false" outlineLevel="0" collapsed="false">
      <c r="A24" s="9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2026-10-23T17:23:11Z</dcterms:created>
  <dc:creator>openpyxl</dc:creator>
  <dc:description/>
  <dc:language>en-US</dc:language>
  <cp:lastModifiedBy/>
  <dcterms:modified xsi:type="dcterms:W3CDTF">2026-10-23T17:23:11Z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